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A6BF7EA4-D07E-4F0E-9086-9EA347C8F164}" xr6:coauthVersionLast="47" xr6:coauthVersionMax="47" xr10:uidLastSave="{00000000-0000-0000-0000-000000000000}"/>
  <bookViews>
    <workbookView xWindow="-110" yWindow="-110" windowWidth="19420" windowHeight="11500" xr2:uid="{00000000-000D-0000-FFFF-FFFF00000000}"/>
  </bookViews>
  <sheets>
    <sheet name="Sheet1" sheetId="1" r:id="rId1"/>
    <sheet name="Enhancemen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S9flWrSWJWqpJ+BPpEKqX7FyGal/37WQP+RcAI7aVec="/>
    </ext>
  </extLst>
</workbook>
</file>

<file path=xl/calcChain.xml><?xml version="1.0" encoding="utf-8"?>
<calcChain xmlns="http://schemas.openxmlformats.org/spreadsheetml/2006/main">
  <c r="I4" i="1" l="1"/>
  <c r="I3" i="1"/>
  <c r="I2" i="1"/>
  <c r="I5" i="1" l="1"/>
</calcChain>
</file>

<file path=xl/sharedStrings.xml><?xml version="1.0" encoding="utf-8"?>
<sst xmlns="http://schemas.openxmlformats.org/spreadsheetml/2006/main" count="148" uniqueCount="103">
  <si>
    <t>Product Name</t>
  </si>
  <si>
    <t>Facebook.com</t>
  </si>
  <si>
    <t>TC Start Date</t>
  </si>
  <si>
    <t>17/11/2025</t>
  </si>
  <si>
    <t>TC Execution Start Date</t>
  </si>
  <si>
    <t>TEST CASE SUMMARY</t>
  </si>
  <si>
    <t>Module Name</t>
  </si>
  <si>
    <t>Login</t>
  </si>
  <si>
    <t>TC End Date</t>
  </si>
  <si>
    <t>18/11/2025</t>
  </si>
  <si>
    <t>TC Execution End Date</t>
  </si>
  <si>
    <t>PASS</t>
  </si>
  <si>
    <t>Test Case Developed By</t>
  </si>
  <si>
    <t>MD. Rakib</t>
  </si>
  <si>
    <t>Browser (Tested)</t>
  </si>
  <si>
    <t>FAIL</t>
  </si>
  <si>
    <t>Developer Name (TL)</t>
  </si>
  <si>
    <t>Mr. Vut</t>
  </si>
  <si>
    <t>Test Case Reviewed By</t>
  </si>
  <si>
    <t>Vut_01</t>
  </si>
  <si>
    <t>Performance (Tested)</t>
  </si>
  <si>
    <t>No</t>
  </si>
  <si>
    <t>WARNING</t>
  </si>
  <si>
    <t>Test Executed By</t>
  </si>
  <si>
    <t>Md. Rakib</t>
  </si>
  <si>
    <t>TOTAL</t>
  </si>
  <si>
    <t>Test Case ID</t>
  </si>
  <si>
    <t>Test Case Description</t>
  </si>
  <si>
    <t>Test Data</t>
  </si>
  <si>
    <t>Step Description</t>
  </si>
  <si>
    <t>Expected Result</t>
  </si>
  <si>
    <t>Actual Result</t>
  </si>
  <si>
    <t>Status</t>
  </si>
  <si>
    <t>Remarks</t>
  </si>
  <si>
    <t>Priority</t>
  </si>
  <si>
    <t>FB_001</t>
  </si>
  <si>
    <t>Verify that the user is able to login with correct credentials</t>
  </si>
  <si>
    <t>User Name: rakibbubt1617@gmail,com
Password: Rakib1617</t>
  </si>
  <si>
    <t>1. Navigate to the Login page.
2. Enter valid username/email in the username field.
3. Enter valid password in the password field.
4. Click on the Login button.
5. Verify the user is redirected to the dashboard/home page.</t>
  </si>
  <si>
    <t>System should allow login and redirect the user to the home page successfully.</t>
  </si>
  <si>
    <t>As Expected</t>
  </si>
  <si>
    <t>FB_002</t>
  </si>
  <si>
    <t>Verify that the user will get into their home page after login in with the correct credentials.</t>
  </si>
  <si>
    <t>1. Navigate to the Login page.
2. Enter the valid username/email.
3. Enter the valid password.
4. Click on the Login button.
5. Observe whether the user is redirected to the home page.</t>
  </si>
  <si>
    <t>User should be successfully logged in and redirected to the Home page.</t>
  </si>
  <si>
    <t>FB_003</t>
  </si>
  <si>
    <t>Verify that the user can access all controls and elements by pressing the Tab key from the keyboard.</t>
  </si>
  <si>
    <t>N/A</t>
  </si>
  <si>
    <t>1. Navigate to the Login page.
2. Press the Tab key repeatedly to navigate through all input fields, checkboxes, buttons, and links.
3. Observe the focus order as the Tab key moves through elements.
4. Attempt to activate buttons/links using Enter or Space when focused.
5. Reverse navigation using Shift + Tab and observe focus order.</t>
  </si>
  <si>
    <t>1. Focus should move sequentially through all interactive elements in a logical order.
2. Pressing Enter or Space on focused elements should trigger their actions.
3. Shift + Tab should move the focus backward correctly.</t>
  </si>
  <si>
    <t>FB_004</t>
  </si>
  <si>
    <t>Verify that the user can log in by entering valid credentials and pressing the Enter key (without clicking the Login button)</t>
  </si>
  <si>
    <t>1. Navigate to the Login page.
2. Enter a valid username/email in the username field.
3. Enter a valid password in the password field.
4. Do not click the "Login" button.
5. Press the Enter key on the keyboard (from either the password field or username field).
6. Observe the behavior.</t>
  </si>
  <si>
    <t>The system should successfully authenticate the user, login, and redirect the user to the home page.</t>
  </si>
  <si>
    <t>FB_005</t>
  </si>
  <si>
    <t>Verify that the user can log in by entering valid credentials and clicking on the login button.</t>
  </si>
  <si>
    <t>1. Navigate to the Login page.
2. Enter the valid username/email in the username field.
3. Enter the valid password in the password field.
4. Click on the Login button.
5. Observe the behavior.</t>
  </si>
  <si>
    <t>System should allow login and redirect the user to the home page/dashboard successfully. User should be successfully logged in.</t>
  </si>
  <si>
    <t>FB_006</t>
  </si>
  <si>
    <t>Verify that the password entered should be in encrypted/masked form</t>
  </si>
  <si>
    <t>1. Navigate to the Login page.
2. Click inside the Password field.
3. Type a valid password (e.g., Rakib1617).
4. Observe the characters displayed in the password field while typing and after typing is complete.</t>
  </si>
  <si>
    <t>The password characters must not be visible in plain text. They should appear as bullets (.......) or asterisks (*******) i.e., in encrypted/masked form. The actual password should be hidden for security reasons.</t>
  </si>
  <si>
    <t>FB_007</t>
  </si>
  <si>
    <t>Verify whether an eye icon is added to the password field or not.</t>
  </si>
  <si>
    <t>1. Navigate to the Login page.
2. Locate the Password field.
3. Observe the right side (or inside) of the Password input field.
4. Check if an eye icon  or a "Show/Hide" toggle button is visible even when the field is empty or focused.
5. Enter a password and verify the icon remains visible.</t>
  </si>
  <si>
    <t>An eye icon must be displayed inside or beside the password field at all times. This icon allows the user to toggle between hiding and showing the password.</t>
  </si>
  <si>
    <t>FB_008</t>
  </si>
  <si>
    <t>Verify that the user can be able to view the password by clicking on the eye icon.</t>
  </si>
  <si>
    <t>1. Navigate to the Login page.
2. Enter a valid username/email in the username field.
3. Click on the Password field.
4. Type the password Rakib1617.
5. Observe that the password is displayed in masked form (.........).
6. Click on the eye icon (usually located on the right side of the password field).
7. Observe the password field and the eye icon again.
8. Click the eye icon once more to hide the password</t>
  </si>
  <si>
    <t>Initially, the password must be hidden (......). And after clicking the eye icon once, the password should become visible in plain text exactly as typed.</t>
  </si>
  <si>
    <t>FB_009</t>
  </si>
  <si>
    <t>Add a captcha on the login form to prevent the robot attack.</t>
  </si>
  <si>
    <t>1. Navigate to the Login page.
2. Observe the login form.</t>
  </si>
  <si>
    <t>A CAPTCHA widget (Google reCAPTCHA or Facebook's own CAPTCHA challenge such as "I'm not a robot" checkbox, image selection, puzzle, etc.) must be visibly displayed below or beside the password field or appear when suspicious activity is detected.</t>
  </si>
  <si>
    <t>Click here</t>
  </si>
  <si>
    <t>FB_010</t>
  </si>
  <si>
    <t>Verify the error message should display after just entering an email address and leaving the password
field blank.</t>
  </si>
  <si>
    <t>1. Navigate to the Login page.
2. Enter a valid (or any) email address/username in the email field.
3. Leave the password field completely empty.
4. Click on the "Log in" button.</t>
  </si>
  <si>
    <t>Should be an error message must be displayed.</t>
  </si>
  <si>
    <t>FB_011</t>
  </si>
  <si>
    <t>Verify the error message should display after just entering a password and leaving the email field blank.</t>
  </si>
  <si>
    <t>1. Navigate to the Login page.
2. Leave the email/username field completely empty.
3. Enter a valid (or any) password in the password field.
4. Click on the "Log in" button.</t>
  </si>
  <si>
    <t>FB_012</t>
  </si>
  <si>
    <t>Verify the displayed error message grammar should be correct.</t>
  </si>
  <si>
    <t>1. Navigate to Login page.
2. Enter valid email.
3. Leave password field empty.
4. Click Login.</t>
  </si>
  <si>
    <t>Error message must be grammatically correct, properly spelled, and correctly punctuated.</t>
  </si>
  <si>
    <t>FB_013</t>
  </si>
  <si>
    <t>Check logged in user should not log out on closing the browser.</t>
  </si>
  <si>
    <t>1. Navigate to the Login page.
2. Enter valid username/email and password.
3. (If available) Check the "Keep me logged in" or "Remember me" checkbox.
4. Click the Login button and confirm successful login</t>
  </si>
  <si>
    <t>The user should remain logged in automatically.
no login page should be displayed.</t>
  </si>
  <si>
    <t>FB_014</t>
  </si>
  <si>
    <t>Verify logged-in user doesn’t log out by clicking the back button on the browsers tab.</t>
  </si>
  <si>
    <t>1. Navigate to the Login page.
2. Enter valid credentials and log in successfully.
3. Reach the home page.
4. Click the browser’s Back button.
5. Observe the page and user session.</t>
  </si>
  <si>
    <t>1.User must remain fully logged in.
2.The previous page (dashboard/home) should load normally.
3. No redirection to the login page.
4.Session must not be destroyed or invalidated.
5.User menu, profile info, or any authenticated elements must still be visible.</t>
  </si>
  <si>
    <t>FB_015</t>
  </si>
  <si>
    <t>Verify the user credential remained on the field after clicking remember and get back to the login screen again.</t>
  </si>
  <si>
    <t>1. Go to the Login page.
2. Enter valid username/email.
3. Enter valid password.
4. Select the “Remember Me” checkbox.
5. Click the Login button.
6. Log out from the application (or return to login page).
7. Observe the username and password fields.</t>
  </si>
  <si>
    <t>1. User should be successfully logged in.
2. After returning to the login page, previously entered username and password should remain pre-filled in their respective fields.</t>
  </si>
  <si>
    <t>Enhancement</t>
  </si>
  <si>
    <t>SL. No.</t>
  </si>
  <si>
    <t>Description</t>
  </si>
  <si>
    <t>Screenshot</t>
  </si>
  <si>
    <t>Not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</si>
</sst>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theme="1"/>
      <name val="Arial"/>
    </font>
    <font>
      <sz val="10"/>
      <name val="Arial"/>
    </font>
    <font>
      <b/>
      <u/>
      <sz val="10"/>
      <color rgb="FF0000FF"/>
      <name val="Arial"/>
    </font>
    <font>
      <sz val="10"/>
      <color theme="1"/>
      <name val="Arial"/>
    </font>
    <font>
      <b/>
      <sz val="21"/>
      <color rgb="FFFFFFFF"/>
      <name val="Arial"/>
    </font>
    <font>
      <sz val="10"/>
      <color rgb="FF000000"/>
      <name val="Arial"/>
    </font>
    <font>
      <sz val="10"/>
      <color theme="1"/>
      <name val="Arial"/>
      <scheme val="minor"/>
    </font>
    <font>
      <u/>
      <sz val="10"/>
      <color rgb="FF0000FF"/>
      <name val="Arial"/>
    </font>
    <font>
      <sz val="10"/>
      <color rgb="FFFFFFFF"/>
      <name val="Arial"/>
    </font>
    <font>
      <sz val="10"/>
      <color rgb="FF000000"/>
      <name val="Arial"/>
      <family val="2"/>
    </font>
  </fonts>
  <fills count="14">
    <fill>
      <patternFill patternType="none"/>
    </fill>
    <fill>
      <patternFill patternType="gray125"/>
    </fill>
    <fill>
      <patternFill patternType="solid">
        <fgColor rgb="FFD6E3BC"/>
        <bgColor rgb="FFD6E3BC"/>
      </patternFill>
    </fill>
    <fill>
      <patternFill patternType="solid">
        <fgColor rgb="FF27F931"/>
        <bgColor rgb="FF27F931"/>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rgb="FF6D9EEB"/>
        <bgColor rgb="FF6D9EEB"/>
      </patternFill>
    </fill>
    <fill>
      <patternFill patternType="solid">
        <fgColor rgb="FF0B5394"/>
        <bgColor rgb="FF0B5394"/>
      </patternFill>
    </fill>
    <fill>
      <patternFill patternType="solid">
        <fgColor rgb="FFD8D8D8"/>
        <bgColor rgb="FFD8D8D8"/>
      </patternFill>
    </fill>
    <fill>
      <patternFill patternType="solid">
        <fgColor rgb="FFFFFFFF"/>
        <bgColor rgb="FFFFFFFF"/>
      </patternFill>
    </fill>
    <fill>
      <patternFill patternType="solid">
        <fgColor rgb="FF000000"/>
        <bgColor rgb="FF000000"/>
      </patternFill>
    </fill>
    <fill>
      <patternFill patternType="solid">
        <fgColor theme="7"/>
        <bgColor indexed="64"/>
      </patternFill>
    </fill>
    <fill>
      <patternFill patternType="solid">
        <fgColor theme="5"/>
        <bgColor indexed="64"/>
      </patternFill>
    </fill>
  </fills>
  <borders count="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6">
    <xf numFmtId="0" fontId="0" fillId="0" borderId="0" xfId="0"/>
    <xf numFmtId="0" fontId="3" fillId="0" borderId="2" xfId="0" applyFont="1" applyBorder="1" applyAlignment="1">
      <alignment horizontal="center" vertical="center" wrapText="1"/>
    </xf>
    <xf numFmtId="0" fontId="1" fillId="2" borderId="2" xfId="0" applyFont="1" applyFill="1" applyBorder="1" applyAlignment="1">
      <alignment horizontal="left" vertical="center" wrapText="1"/>
    </xf>
    <xf numFmtId="0" fontId="1" fillId="0" borderId="2" xfId="0" applyFont="1" applyBorder="1" applyAlignment="1">
      <alignment horizontal="center" vertical="center" wrapText="1"/>
    </xf>
    <xf numFmtId="0" fontId="1" fillId="2" borderId="2" xfId="0" applyFont="1" applyFill="1" applyBorder="1" applyAlignment="1">
      <alignment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wrapText="1"/>
    </xf>
    <xf numFmtId="0" fontId="1" fillId="2" borderId="4" xfId="0" applyFont="1" applyFill="1" applyBorder="1" applyAlignment="1">
      <alignment horizontal="left" vertical="center" wrapText="1"/>
    </xf>
    <xf numFmtId="0" fontId="4" fillId="0" borderId="4" xfId="0" applyFont="1" applyBorder="1" applyAlignment="1">
      <alignment horizontal="center" vertical="center" wrapText="1"/>
    </xf>
    <xf numFmtId="0" fontId="1" fillId="2" borderId="4" xfId="0" applyFont="1" applyFill="1" applyBorder="1" applyAlignment="1">
      <alignment vertical="center" wrapText="1"/>
    </xf>
    <xf numFmtId="0" fontId="4" fillId="0" borderId="4" xfId="0" applyFont="1" applyBorder="1" applyAlignment="1">
      <alignment horizontal="center" vertical="center"/>
    </xf>
    <xf numFmtId="0" fontId="4" fillId="3" borderId="4" xfId="0" applyFont="1" applyFill="1" applyBorder="1" applyAlignment="1">
      <alignment horizontal="center" wrapText="1"/>
    </xf>
    <xf numFmtId="0" fontId="4" fillId="0" borderId="4" xfId="0" applyFont="1" applyBorder="1" applyAlignment="1">
      <alignment vertical="center"/>
    </xf>
    <xf numFmtId="0" fontId="4" fillId="4" borderId="4" xfId="0" applyFont="1" applyFill="1" applyBorder="1" applyAlignment="1">
      <alignment horizontal="center" wrapText="1"/>
    </xf>
    <xf numFmtId="0" fontId="1" fillId="0" borderId="6" xfId="0" applyFont="1" applyBorder="1" applyAlignment="1">
      <alignment horizontal="center" vertical="center" wrapText="1"/>
    </xf>
    <xf numFmtId="0" fontId="4" fillId="5" borderId="4" xfId="0" applyFont="1" applyFill="1" applyBorder="1" applyAlignment="1">
      <alignment horizontal="center" wrapText="1"/>
    </xf>
    <xf numFmtId="0" fontId="1" fillId="6" borderId="6" xfId="0" applyFont="1" applyFill="1" applyBorder="1" applyAlignment="1">
      <alignment horizontal="center" vertical="center"/>
    </xf>
    <xf numFmtId="0" fontId="4" fillId="6" borderId="5" xfId="0" applyFont="1" applyFill="1" applyBorder="1" applyAlignment="1">
      <alignment horizontal="left" vertical="center"/>
    </xf>
    <xf numFmtId="0" fontId="4" fillId="6" borderId="6" xfId="0" applyFont="1" applyFill="1" applyBorder="1" applyAlignment="1">
      <alignment vertical="center" wrapText="1"/>
    </xf>
    <xf numFmtId="0" fontId="4" fillId="6" borderId="5" xfId="0" applyFont="1" applyFill="1" applyBorder="1" applyAlignment="1">
      <alignment vertical="center"/>
    </xf>
    <xf numFmtId="0" fontId="4" fillId="6" borderId="6" xfId="0" applyFont="1" applyFill="1" applyBorder="1" applyAlignment="1">
      <alignment horizontal="center" vertical="center"/>
    </xf>
    <xf numFmtId="0" fontId="1" fillId="7" borderId="4" xfId="0" applyFont="1" applyFill="1" applyBorder="1" applyAlignment="1">
      <alignment vertical="center" wrapText="1"/>
    </xf>
    <xf numFmtId="0" fontId="4" fillId="7" borderId="4" xfId="0" applyFont="1" applyFill="1" applyBorder="1" applyAlignment="1">
      <alignment horizontal="center" wrapText="1"/>
    </xf>
    <xf numFmtId="0" fontId="1" fillId="9" borderId="7" xfId="0" applyFont="1" applyFill="1" applyBorder="1" applyAlignment="1">
      <alignment horizontal="left" vertical="center" wrapText="1"/>
    </xf>
    <xf numFmtId="0" fontId="1" fillId="9" borderId="4" xfId="0" applyFont="1" applyFill="1" applyBorder="1" applyAlignment="1">
      <alignment horizontal="center" vertical="center" wrapText="1"/>
    </xf>
    <xf numFmtId="0" fontId="1" fillId="9" borderId="4" xfId="0" applyFont="1" applyFill="1" applyBorder="1" applyAlignment="1">
      <alignment horizontal="center" wrapText="1"/>
    </xf>
    <xf numFmtId="0" fontId="1" fillId="0" borderId="7" xfId="0" applyFont="1" applyBorder="1" applyAlignment="1">
      <alignment horizontal="center" vertical="center" wrapText="1"/>
    </xf>
    <xf numFmtId="0" fontId="4" fillId="0" borderId="4" xfId="0" applyFont="1" applyBorder="1" applyAlignment="1">
      <alignment horizontal="left" vertical="center" wrapText="1"/>
    </xf>
    <xf numFmtId="0" fontId="4" fillId="10" borderId="4" xfId="0" applyFont="1" applyFill="1" applyBorder="1"/>
    <xf numFmtId="0" fontId="6" fillId="10" borderId="6" xfId="0" applyFont="1" applyFill="1" applyBorder="1" applyAlignment="1">
      <alignment horizontal="left" vertical="center" wrapText="1"/>
    </xf>
    <xf numFmtId="0" fontId="7" fillId="0" borderId="0" xfId="0" applyFont="1" applyAlignment="1">
      <alignment horizontal="left" vertical="center" wrapText="1"/>
    </xf>
    <xf numFmtId="0" fontId="8" fillId="0" borderId="4" xfId="0" applyFont="1" applyBorder="1" applyAlignment="1">
      <alignment horizontal="center" vertical="center" wrapText="1"/>
    </xf>
    <xf numFmtId="0" fontId="4" fillId="0" borderId="4" xfId="0" applyFont="1" applyBorder="1"/>
    <xf numFmtId="0" fontId="1" fillId="0" borderId="7" xfId="0" applyFont="1" applyBorder="1" applyAlignment="1">
      <alignment horizontal="left" vertical="center" wrapText="1"/>
    </xf>
    <xf numFmtId="0" fontId="4" fillId="10" borderId="4" xfId="0" applyFont="1" applyFill="1" applyBorder="1" applyAlignment="1">
      <alignment horizontal="center" vertical="center" wrapText="1"/>
    </xf>
    <xf numFmtId="0" fontId="4" fillId="0" borderId="0" xfId="0" applyFont="1"/>
    <xf numFmtId="0" fontId="4" fillId="0" borderId="0" xfId="0" applyFont="1" applyAlignment="1">
      <alignment horizontal="center"/>
    </xf>
    <xf numFmtId="0" fontId="4" fillId="0" borderId="0" xfId="0" applyFont="1" applyAlignment="1">
      <alignment horizontal="left"/>
    </xf>
    <xf numFmtId="0" fontId="1" fillId="12" borderId="4" xfId="0" applyFont="1" applyFill="1" applyBorder="1" applyAlignment="1">
      <alignment horizontal="center" vertical="center" wrapText="1"/>
    </xf>
    <xf numFmtId="0" fontId="1" fillId="13" borderId="4" xfId="0" applyFont="1" applyFill="1" applyBorder="1" applyAlignment="1">
      <alignment horizontal="center" vertical="center" wrapText="1"/>
    </xf>
    <xf numFmtId="0" fontId="10" fillId="0" borderId="6" xfId="0" applyFont="1" applyBorder="1" applyAlignment="1">
      <alignment horizontal="left" vertical="center" wrapText="1"/>
    </xf>
    <xf numFmtId="0" fontId="1" fillId="6" borderId="1" xfId="0" applyFont="1" applyFill="1" applyBorder="1" applyAlignment="1">
      <alignment horizontal="left" vertical="center" wrapText="1"/>
    </xf>
    <xf numFmtId="0" fontId="1" fillId="6" borderId="2" xfId="0" applyFont="1" applyFill="1" applyBorder="1" applyAlignment="1">
      <alignment horizontal="left" vertical="center" wrapText="1"/>
    </xf>
    <xf numFmtId="0" fontId="5" fillId="8" borderId="1" xfId="0" applyFont="1" applyFill="1" applyBorder="1" applyAlignment="1">
      <alignment horizontal="left" vertical="center" wrapText="1"/>
    </xf>
    <xf numFmtId="0" fontId="2" fillId="0" borderId="3" xfId="0" applyFont="1" applyBorder="1"/>
    <xf numFmtId="0" fontId="2" fillId="0" borderId="2" xfId="0" applyFont="1" applyBorder="1"/>
    <xf numFmtId="12" fontId="1" fillId="2" borderId="1" xfId="0" applyNumberFormat="1" applyFont="1" applyFill="1" applyBorder="1" applyAlignment="1">
      <alignment horizontal="left" vertical="center" wrapText="1"/>
    </xf>
    <xf numFmtId="12" fontId="1" fillId="2" borderId="2" xfId="0" applyNumberFormat="1" applyFont="1" applyFill="1" applyBorder="1" applyAlignment="1">
      <alignment horizontal="lef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4" fillId="0" borderId="3" xfId="0" applyFont="1" applyBorder="1" applyAlignment="1">
      <alignment horizontal="left" vertical="center"/>
    </xf>
    <xf numFmtId="0" fontId="4" fillId="0" borderId="2" xfId="0" applyFont="1" applyBorder="1" applyAlignment="1">
      <alignment horizontal="left" vertical="center"/>
    </xf>
    <xf numFmtId="0" fontId="9" fillId="11" borderId="0" xfId="0" applyFont="1" applyFill="1" applyAlignment="1">
      <alignment horizontal="center"/>
    </xf>
    <xf numFmtId="0" fontId="0" fillId="0" borderId="0" xfId="0"/>
  </cellXfs>
  <cellStyles count="1">
    <cellStyle name="Normal" xfId="0" builtinId="0"/>
  </cellStyles>
  <dxfs count="1">
    <dxf>
      <fill>
        <patternFill patternType="solid">
          <fgColor rgb="FF76A5AF"/>
          <bgColor rgb="FF76A5A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facebook.com/" TargetMode="External"/><Relationship Id="rId1" Type="http://schemas.openxmlformats.org/officeDocument/2006/relationships/hyperlink" Target="https://prnt.sc/XXEzmR1RDNv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9"/>
  <sheetViews>
    <sheetView tabSelected="1" workbookViewId="0">
      <selection activeCell="F17" sqref="F17"/>
    </sheetView>
  </sheetViews>
  <sheetFormatPr defaultColWidth="12.6328125" defaultRowHeight="15" customHeight="1" x14ac:dyDescent="0.25"/>
  <cols>
    <col min="1" max="1" width="15.08984375" customWidth="1"/>
    <col min="2" max="2" width="26.36328125" customWidth="1"/>
    <col min="3" max="3" width="23.453125" customWidth="1"/>
    <col min="4" max="4" width="41.36328125" customWidth="1"/>
    <col min="5" max="5" width="32" customWidth="1"/>
    <col min="6" max="6" width="26.7265625" customWidth="1"/>
    <col min="7" max="7" width="15.453125" customWidth="1"/>
    <col min="8" max="8" width="16" customWidth="1"/>
  </cols>
  <sheetData>
    <row r="1" spans="1:9" ht="15.75" customHeight="1" x14ac:dyDescent="0.25">
      <c r="A1" s="46" t="s">
        <v>0</v>
      </c>
      <c r="B1" s="47"/>
      <c r="C1" s="1" t="s">
        <v>1</v>
      </c>
      <c r="D1" s="2" t="s">
        <v>2</v>
      </c>
      <c r="E1" s="3" t="s">
        <v>3</v>
      </c>
      <c r="F1" s="4" t="s">
        <v>4</v>
      </c>
      <c r="G1" s="5" t="s">
        <v>3</v>
      </c>
      <c r="H1" s="48" t="s">
        <v>5</v>
      </c>
      <c r="I1" s="49"/>
    </row>
    <row r="2" spans="1:9" ht="15.75" customHeight="1" x14ac:dyDescent="0.25">
      <c r="A2" s="50" t="s">
        <v>6</v>
      </c>
      <c r="B2" s="51"/>
      <c r="C2" s="6" t="s">
        <v>7</v>
      </c>
      <c r="D2" s="7" t="s">
        <v>8</v>
      </c>
      <c r="E2" s="8" t="s">
        <v>9</v>
      </c>
      <c r="F2" s="9" t="s">
        <v>10</v>
      </c>
      <c r="G2" s="10" t="s">
        <v>9</v>
      </c>
      <c r="H2" s="9" t="s">
        <v>11</v>
      </c>
      <c r="I2" s="11">
        <f>COUNTIF(G8:G29, "PASS")</f>
        <v>14</v>
      </c>
    </row>
    <row r="3" spans="1:9" ht="15.75" customHeight="1" x14ac:dyDescent="0.25">
      <c r="A3" s="52"/>
      <c r="B3" s="53"/>
      <c r="C3" s="12"/>
      <c r="D3" s="7" t="s">
        <v>12</v>
      </c>
      <c r="E3" s="6" t="s">
        <v>13</v>
      </c>
      <c r="F3" s="9" t="s">
        <v>14</v>
      </c>
      <c r="G3" s="6">
        <v>1</v>
      </c>
      <c r="H3" s="9" t="s">
        <v>15</v>
      </c>
      <c r="I3" s="13">
        <f>COUNTIF(G8:G29, "FAIL")</f>
        <v>1</v>
      </c>
    </row>
    <row r="4" spans="1:9" ht="15.75" customHeight="1" x14ac:dyDescent="0.25">
      <c r="A4" s="50" t="s">
        <v>16</v>
      </c>
      <c r="B4" s="51"/>
      <c r="C4" s="14" t="s">
        <v>17</v>
      </c>
      <c r="D4" s="7" t="s">
        <v>18</v>
      </c>
      <c r="E4" s="6" t="s">
        <v>19</v>
      </c>
      <c r="F4" s="9" t="s">
        <v>20</v>
      </c>
      <c r="G4" s="10" t="s">
        <v>21</v>
      </c>
      <c r="H4" s="9" t="s">
        <v>22</v>
      </c>
      <c r="I4" s="15">
        <f>COUNTIF(G8:G29, "WARNING")</f>
        <v>0</v>
      </c>
    </row>
    <row r="5" spans="1:9" ht="15.75" customHeight="1" x14ac:dyDescent="0.25">
      <c r="A5" s="41" t="s">
        <v>23</v>
      </c>
      <c r="B5" s="42"/>
      <c r="C5" s="16" t="s">
        <v>24</v>
      </c>
      <c r="D5" s="17"/>
      <c r="E5" s="18"/>
      <c r="F5" s="19"/>
      <c r="G5" s="20"/>
      <c r="H5" s="21" t="s">
        <v>25</v>
      </c>
      <c r="I5" s="22">
        <f>SUM(I2:I3:I4)</f>
        <v>15</v>
      </c>
    </row>
    <row r="6" spans="1:9" ht="32.25" customHeight="1" x14ac:dyDescent="0.25">
      <c r="A6" s="43" t="s">
        <v>7</v>
      </c>
      <c r="B6" s="44"/>
      <c r="C6" s="44"/>
      <c r="D6" s="44"/>
      <c r="E6" s="44"/>
      <c r="F6" s="44"/>
      <c r="G6" s="44"/>
      <c r="H6" s="44"/>
      <c r="I6" s="45"/>
    </row>
    <row r="7" spans="1:9" ht="15.75" customHeight="1" x14ac:dyDescent="0.3">
      <c r="A7" s="23" t="s">
        <v>26</v>
      </c>
      <c r="B7" s="24" t="s">
        <v>27</v>
      </c>
      <c r="C7" s="24" t="s">
        <v>28</v>
      </c>
      <c r="D7" s="24" t="s">
        <v>29</v>
      </c>
      <c r="E7" s="24" t="s">
        <v>30</v>
      </c>
      <c r="F7" s="24" t="s">
        <v>31</v>
      </c>
      <c r="G7" s="24" t="s">
        <v>32</v>
      </c>
      <c r="H7" s="24" t="s">
        <v>33</v>
      </c>
      <c r="I7" s="25" t="s">
        <v>34</v>
      </c>
    </row>
    <row r="8" spans="1:9" ht="120.5" customHeight="1" x14ac:dyDescent="0.25">
      <c r="A8" s="26" t="s">
        <v>35</v>
      </c>
      <c r="B8" s="8" t="s">
        <v>36</v>
      </c>
      <c r="C8" s="8" t="s">
        <v>37</v>
      </c>
      <c r="D8" s="27" t="s">
        <v>38</v>
      </c>
      <c r="E8" s="27" t="s">
        <v>39</v>
      </c>
      <c r="F8" s="8" t="s">
        <v>40</v>
      </c>
      <c r="G8" s="38" t="s">
        <v>11</v>
      </c>
      <c r="H8" s="12"/>
      <c r="I8" s="28"/>
    </row>
    <row r="9" spans="1:9" ht="89" customHeight="1" x14ac:dyDescent="0.25">
      <c r="A9" s="26" t="s">
        <v>41</v>
      </c>
      <c r="B9" s="8" t="s">
        <v>42</v>
      </c>
      <c r="C9" s="8" t="s">
        <v>37</v>
      </c>
      <c r="D9" s="27" t="s">
        <v>43</v>
      </c>
      <c r="E9" s="27" t="s">
        <v>44</v>
      </c>
      <c r="F9" s="8" t="s">
        <v>40</v>
      </c>
      <c r="G9" s="38" t="s">
        <v>11</v>
      </c>
      <c r="H9" s="12"/>
      <c r="I9" s="28"/>
    </row>
    <row r="10" spans="1:9" ht="176.5" customHeight="1" x14ac:dyDescent="0.25">
      <c r="A10" s="26" t="s">
        <v>45</v>
      </c>
      <c r="B10" s="8" t="s">
        <v>46</v>
      </c>
      <c r="C10" s="8" t="s">
        <v>47</v>
      </c>
      <c r="D10" s="27" t="s">
        <v>48</v>
      </c>
      <c r="E10" s="27" t="s">
        <v>49</v>
      </c>
      <c r="F10" s="8" t="s">
        <v>40</v>
      </c>
      <c r="G10" s="38" t="s">
        <v>11</v>
      </c>
      <c r="H10" s="12"/>
      <c r="I10" s="28"/>
    </row>
    <row r="11" spans="1:9" ht="112" customHeight="1" x14ac:dyDescent="0.25">
      <c r="A11" s="26" t="s">
        <v>50</v>
      </c>
      <c r="B11" s="8" t="s">
        <v>51</v>
      </c>
      <c r="C11" s="8" t="s">
        <v>37</v>
      </c>
      <c r="D11" s="27" t="s">
        <v>52</v>
      </c>
      <c r="E11" s="27" t="s">
        <v>53</v>
      </c>
      <c r="F11" s="8" t="s">
        <v>40</v>
      </c>
      <c r="G11" s="38" t="s">
        <v>11</v>
      </c>
      <c r="H11" s="12"/>
      <c r="I11" s="28"/>
    </row>
    <row r="12" spans="1:9" ht="91.5" customHeight="1" x14ac:dyDescent="0.25">
      <c r="A12" s="26" t="s">
        <v>54</v>
      </c>
      <c r="B12" s="8" t="s">
        <v>55</v>
      </c>
      <c r="C12" s="8" t="s">
        <v>37</v>
      </c>
      <c r="D12" s="27" t="s">
        <v>56</v>
      </c>
      <c r="E12" s="27" t="s">
        <v>57</v>
      </c>
      <c r="F12" s="8" t="s">
        <v>40</v>
      </c>
      <c r="G12" s="38" t="s">
        <v>11</v>
      </c>
      <c r="H12" s="12"/>
      <c r="I12" s="28"/>
    </row>
    <row r="13" spans="1:9" ht="91" customHeight="1" x14ac:dyDescent="0.25">
      <c r="A13" s="26" t="s">
        <v>58</v>
      </c>
      <c r="B13" s="8" t="s">
        <v>59</v>
      </c>
      <c r="C13" s="8" t="s">
        <v>37</v>
      </c>
      <c r="D13" s="27" t="s">
        <v>60</v>
      </c>
      <c r="E13" s="27" t="s">
        <v>61</v>
      </c>
      <c r="F13" s="8" t="s">
        <v>40</v>
      </c>
      <c r="G13" s="38" t="s">
        <v>11</v>
      </c>
      <c r="H13" s="10"/>
      <c r="I13" s="28"/>
    </row>
    <row r="14" spans="1:9" ht="129" customHeight="1" x14ac:dyDescent="0.25">
      <c r="A14" s="26" t="s">
        <v>62</v>
      </c>
      <c r="B14" s="8" t="s">
        <v>63</v>
      </c>
      <c r="C14" s="8" t="s">
        <v>37</v>
      </c>
      <c r="D14" s="29" t="s">
        <v>64</v>
      </c>
      <c r="E14" s="27" t="s">
        <v>65</v>
      </c>
      <c r="F14" s="8" t="s">
        <v>40</v>
      </c>
      <c r="G14" s="38" t="s">
        <v>11</v>
      </c>
      <c r="H14" s="12"/>
      <c r="I14" s="28"/>
    </row>
    <row r="15" spans="1:9" ht="177.5" customHeight="1" x14ac:dyDescent="0.25">
      <c r="A15" s="26" t="s">
        <v>66</v>
      </c>
      <c r="B15" s="8" t="s">
        <v>67</v>
      </c>
      <c r="C15" s="8" t="s">
        <v>37</v>
      </c>
      <c r="D15" s="27" t="s">
        <v>68</v>
      </c>
      <c r="E15" s="30" t="s">
        <v>69</v>
      </c>
      <c r="F15" s="8" t="s">
        <v>40</v>
      </c>
      <c r="G15" s="38" t="s">
        <v>11</v>
      </c>
      <c r="H15" s="12"/>
      <c r="I15" s="28"/>
    </row>
    <row r="16" spans="1:9" ht="125.5" customHeight="1" x14ac:dyDescent="0.25">
      <c r="A16" s="26" t="s">
        <v>70</v>
      </c>
      <c r="B16" s="8" t="s">
        <v>71</v>
      </c>
      <c r="C16" s="8" t="s">
        <v>37</v>
      </c>
      <c r="D16" s="27" t="s">
        <v>72</v>
      </c>
      <c r="E16" s="27" t="s">
        <v>73</v>
      </c>
      <c r="F16" s="8" t="s">
        <v>102</v>
      </c>
      <c r="G16" s="39" t="s">
        <v>15</v>
      </c>
      <c r="H16" s="31" t="s">
        <v>74</v>
      </c>
      <c r="I16" s="28"/>
    </row>
    <row r="17" spans="1:9" ht="95" customHeight="1" x14ac:dyDescent="0.25">
      <c r="A17" s="26" t="s">
        <v>75</v>
      </c>
      <c r="B17" s="8" t="s">
        <v>76</v>
      </c>
      <c r="C17" s="8" t="s">
        <v>37</v>
      </c>
      <c r="D17" s="27" t="s">
        <v>77</v>
      </c>
      <c r="E17" s="27" t="s">
        <v>78</v>
      </c>
      <c r="F17" s="8" t="s">
        <v>40</v>
      </c>
      <c r="G17" s="38" t="s">
        <v>11</v>
      </c>
      <c r="H17" s="12"/>
      <c r="I17" s="28"/>
    </row>
    <row r="18" spans="1:9" ht="96" customHeight="1" x14ac:dyDescent="0.25">
      <c r="A18" s="26" t="s">
        <v>79</v>
      </c>
      <c r="B18" s="8" t="s">
        <v>80</v>
      </c>
      <c r="C18" s="8" t="s">
        <v>37</v>
      </c>
      <c r="D18" s="27" t="s">
        <v>81</v>
      </c>
      <c r="E18" s="27" t="s">
        <v>78</v>
      </c>
      <c r="F18" s="8" t="s">
        <v>40</v>
      </c>
      <c r="G18" s="38" t="s">
        <v>11</v>
      </c>
      <c r="H18" s="12"/>
      <c r="I18" s="28"/>
    </row>
    <row r="19" spans="1:9" ht="76" customHeight="1" x14ac:dyDescent="0.25">
      <c r="A19" s="26" t="s">
        <v>82</v>
      </c>
      <c r="B19" s="8" t="s">
        <v>83</v>
      </c>
      <c r="C19" s="8" t="s">
        <v>37</v>
      </c>
      <c r="D19" s="27" t="s">
        <v>84</v>
      </c>
      <c r="E19" s="27" t="s">
        <v>85</v>
      </c>
      <c r="F19" s="8" t="s">
        <v>40</v>
      </c>
      <c r="G19" s="38" t="s">
        <v>11</v>
      </c>
      <c r="H19" s="12"/>
      <c r="I19" s="28"/>
    </row>
    <row r="20" spans="1:9" ht="91.5" customHeight="1" x14ac:dyDescent="0.25">
      <c r="A20" s="26" t="s">
        <v>86</v>
      </c>
      <c r="B20" s="8" t="s">
        <v>87</v>
      </c>
      <c r="C20" s="8" t="s">
        <v>37</v>
      </c>
      <c r="D20" s="27" t="s">
        <v>88</v>
      </c>
      <c r="E20" s="27" t="s">
        <v>89</v>
      </c>
      <c r="F20" s="8" t="s">
        <v>40</v>
      </c>
      <c r="G20" s="38" t="s">
        <v>11</v>
      </c>
      <c r="H20" s="12"/>
      <c r="I20" s="32"/>
    </row>
    <row r="21" spans="1:9" ht="144.5" customHeight="1" x14ac:dyDescent="0.25">
      <c r="A21" s="26" t="s">
        <v>90</v>
      </c>
      <c r="B21" s="8" t="s">
        <v>91</v>
      </c>
      <c r="C21" s="8" t="s">
        <v>37</v>
      </c>
      <c r="D21" s="27" t="s">
        <v>92</v>
      </c>
      <c r="E21" s="27" t="s">
        <v>93</v>
      </c>
      <c r="F21" s="8" t="s">
        <v>40</v>
      </c>
      <c r="G21" s="38" t="s">
        <v>11</v>
      </c>
      <c r="H21" s="12"/>
      <c r="I21" s="32"/>
    </row>
    <row r="22" spans="1:9" ht="126" customHeight="1" x14ac:dyDescent="0.25">
      <c r="A22" s="26" t="s">
        <v>94</v>
      </c>
      <c r="B22" s="8" t="s">
        <v>95</v>
      </c>
      <c r="C22" s="8" t="s">
        <v>37</v>
      </c>
      <c r="D22" s="40" t="s">
        <v>96</v>
      </c>
      <c r="E22" s="27" t="s">
        <v>97</v>
      </c>
      <c r="F22" s="8" t="s">
        <v>40</v>
      </c>
      <c r="G22" s="38" t="s">
        <v>11</v>
      </c>
      <c r="H22" s="12"/>
      <c r="I22" s="32"/>
    </row>
    <row r="23" spans="1:9" ht="15.75" customHeight="1" x14ac:dyDescent="0.25">
      <c r="A23" s="33"/>
      <c r="B23" s="8"/>
      <c r="C23" s="8"/>
      <c r="D23" s="27"/>
      <c r="E23" s="8"/>
      <c r="F23" s="8"/>
      <c r="G23" s="8"/>
      <c r="H23" s="12"/>
      <c r="I23" s="32"/>
    </row>
    <row r="24" spans="1:9" ht="15.75" customHeight="1" x14ac:dyDescent="0.25">
      <c r="A24" s="33"/>
      <c r="B24" s="8"/>
      <c r="C24" s="8"/>
      <c r="D24" s="27"/>
      <c r="E24" s="8"/>
      <c r="F24" s="8"/>
      <c r="G24" s="8"/>
      <c r="H24" s="12"/>
      <c r="I24" s="32"/>
    </row>
    <row r="25" spans="1:9" ht="15.75" customHeight="1" x14ac:dyDescent="0.25">
      <c r="A25" s="33"/>
      <c r="B25" s="8"/>
      <c r="C25" s="8"/>
      <c r="D25" s="27"/>
      <c r="E25" s="8"/>
      <c r="F25" s="8"/>
      <c r="G25" s="8"/>
      <c r="H25" s="12"/>
      <c r="I25" s="32"/>
    </row>
    <row r="26" spans="1:9" ht="15.75" customHeight="1" x14ac:dyDescent="0.25">
      <c r="A26" s="33"/>
      <c r="B26" s="8"/>
      <c r="C26" s="8"/>
      <c r="D26" s="27"/>
      <c r="E26" s="8"/>
      <c r="F26" s="8"/>
      <c r="G26" s="8"/>
      <c r="H26" s="12"/>
      <c r="I26" s="32"/>
    </row>
    <row r="27" spans="1:9" ht="15.75" customHeight="1" x14ac:dyDescent="0.25">
      <c r="A27" s="33"/>
      <c r="B27" s="8"/>
      <c r="C27" s="8"/>
      <c r="D27" s="27"/>
      <c r="E27" s="8"/>
      <c r="F27" s="8"/>
      <c r="G27" s="8"/>
      <c r="H27" s="12"/>
      <c r="I27" s="32"/>
    </row>
    <row r="28" spans="1:9" ht="15.75" customHeight="1" x14ac:dyDescent="0.25">
      <c r="A28" s="33"/>
      <c r="B28" s="8"/>
      <c r="C28" s="8"/>
      <c r="D28" s="27"/>
      <c r="E28" s="8"/>
      <c r="F28" s="8"/>
      <c r="G28" s="8"/>
      <c r="H28" s="12"/>
      <c r="I28" s="32"/>
    </row>
    <row r="29" spans="1:9" ht="15.75" customHeight="1" x14ac:dyDescent="0.25">
      <c r="A29" s="33"/>
      <c r="B29" s="8"/>
      <c r="C29" s="34"/>
      <c r="D29" s="27"/>
      <c r="E29" s="8"/>
      <c r="F29" s="8"/>
      <c r="G29" s="8"/>
      <c r="H29" s="12"/>
      <c r="I29" s="32"/>
    </row>
  </sheetData>
  <mergeCells count="7">
    <mergeCell ref="A5:B5"/>
    <mergeCell ref="A6:I6"/>
    <mergeCell ref="A1:B1"/>
    <mergeCell ref="H1:I1"/>
    <mergeCell ref="A2:B2"/>
    <mergeCell ref="A3:B3"/>
    <mergeCell ref="A4:B4"/>
  </mergeCells>
  <conditionalFormatting sqref="A6:I6">
    <cfRule type="containsBlanks" dxfId="0" priority="1">
      <formula>LEN(TRIM(A6))=0</formula>
    </cfRule>
  </conditionalFormatting>
  <dataValidations count="1">
    <dataValidation type="list" allowBlank="1" showErrorMessage="1" sqref="G8:G22" xr:uid="{00000000-0002-0000-0000-000000000000}">
      <formula1>"PASS,FAIL,WARNING"</formula1>
    </dataValidation>
  </dataValidations>
  <hyperlinks>
    <hyperlink ref="H16" r:id="rId1" xr:uid="{00000000-0004-0000-0000-000001000000}"/>
    <hyperlink ref="C1" r:id="rId2" xr:uid="{00000000-0004-0000-0000-000000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0"/>
  <sheetViews>
    <sheetView workbookViewId="0"/>
  </sheetViews>
  <sheetFormatPr defaultColWidth="12.6328125" defaultRowHeight="15" customHeight="1" x14ac:dyDescent="0.25"/>
  <cols>
    <col min="1" max="1" width="12.6328125" customWidth="1"/>
    <col min="2" max="2" width="27.453125" customWidth="1"/>
    <col min="3" max="6" width="12.6328125" customWidth="1"/>
  </cols>
  <sheetData>
    <row r="1" spans="1:4" ht="15.75" customHeight="1" x14ac:dyDescent="0.25">
      <c r="A1" s="54" t="s">
        <v>98</v>
      </c>
      <c r="B1" s="55"/>
      <c r="C1" s="55"/>
      <c r="D1" s="55"/>
    </row>
    <row r="2" spans="1:4" ht="15.75" customHeight="1" x14ac:dyDescent="0.25">
      <c r="A2" s="35" t="s">
        <v>99</v>
      </c>
      <c r="B2" s="36" t="s">
        <v>100</v>
      </c>
      <c r="C2" s="36" t="s">
        <v>101</v>
      </c>
    </row>
    <row r="3" spans="1:4" ht="15.75" customHeight="1" x14ac:dyDescent="0.25">
      <c r="A3" s="37">
        <v>1</v>
      </c>
    </row>
    <row r="4" spans="1:4" ht="15.75" customHeight="1" x14ac:dyDescent="0.25"/>
    <row r="5" spans="1:4" ht="15.75" customHeight="1" x14ac:dyDescent="0.25"/>
    <row r="6" spans="1:4" ht="15.75" customHeight="1" x14ac:dyDescent="0.25"/>
    <row r="7" spans="1:4" ht="15.75" customHeight="1" x14ac:dyDescent="0.25"/>
    <row r="8" spans="1:4" ht="15.75" customHeight="1" x14ac:dyDescent="0.25"/>
    <row r="9" spans="1:4" ht="15.75" customHeight="1" x14ac:dyDescent="0.25"/>
    <row r="10" spans="1:4" ht="15.75" customHeight="1" x14ac:dyDescent="0.25"/>
    <row r="11" spans="1:4" ht="15.75" customHeight="1" x14ac:dyDescent="0.25"/>
    <row r="12" spans="1:4" ht="15.75" customHeight="1" x14ac:dyDescent="0.25"/>
    <row r="13" spans="1:4" ht="15.75" customHeight="1" x14ac:dyDescent="0.25"/>
    <row r="14" spans="1:4" ht="15.75" customHeight="1" x14ac:dyDescent="0.25"/>
    <row r="15" spans="1:4" ht="15.75" customHeight="1" x14ac:dyDescent="0.25"/>
    <row r="16" spans="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Enhancement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rakib</cp:lastModifiedBy>
  <dcterms:modified xsi:type="dcterms:W3CDTF">2025-11-23T18:21:54Z</dcterms:modified>
</cp:coreProperties>
</file>